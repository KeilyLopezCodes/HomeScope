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" sheetId="1" state="visible" r:id="rId3"/>
    <sheet name="Resumen" sheetId="2" state="visible" r:id="rId4"/>
    <sheet name="Leyenda y reglas" sheetId="3" state="visible" r:id="rId5"/>
  </sheets>
  <definedNames>
    <definedName function="false" hidden="true" localSheetId="0" name="_xlnm._FilterDatabase" vbProcedure="false">Matriz!$A$4:$I$59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<sst xmlns="http://schemas.openxmlformats.org/spreadsheetml/2006/main" count="547" uniqueCount="244">
  <si>
    <t xml:space="preserve">HomeScope — Matriz de roles y permisos</t>
  </si>
  <si>
    <t xml:space="preserve">Sí = permitido · Propio = solo sobre sus propios recursos · Condicional = permitido si se cumple la condición indicada · No = no permitido. Ver la hoja "Leyenda y reglas".</t>
  </si>
  <si>
    <t xml:space="preserve">Módulo</t>
  </si>
  <si>
    <t xml:space="preserve">Código del permiso</t>
  </si>
  <si>
    <t xml:space="preserve">Descripción</t>
  </si>
  <si>
    <t xml:space="preserve">Visitante (sin sesión)</t>
  </si>
  <si>
    <t xml:space="preserve">Comprador</t>
  </si>
  <si>
    <t xml:space="preserve">Vendedor</t>
  </si>
  <si>
    <t xml:space="preserve">Administrador</t>
  </si>
  <si>
    <t xml:space="preserve">Condición / regla de negocio</t>
  </si>
  <si>
    <t xml:space="preserve">Requerimiento</t>
  </si>
  <si>
    <t xml:space="preserve">Cuenta y perfil</t>
  </si>
  <si>
    <t xml:space="preserve">cuenta.registrar</t>
  </si>
  <si>
    <t xml:space="preserve">Crear una cuenta como comprador, vendedor o ambos</t>
  </si>
  <si>
    <t xml:space="preserve">Sí</t>
  </si>
  <si>
    <t xml:space="preserve">No</t>
  </si>
  <si>
    <t xml:space="preserve">Solo sin sesión iniciada. El rol de administrador nunca se elige en el registro.</t>
  </si>
  <si>
    <t xml:space="preserve">RF-01 · HU-06</t>
  </si>
  <si>
    <t xml:space="preserve">cuenta.iniciar_sesion</t>
  </si>
  <si>
    <t xml:space="preserve">Iniciar sesión y usar "recordar sesión"</t>
  </si>
  <si>
    <t xml:space="preserve">La cuenta debe estar activa (no suspendida ni inhabilitada).</t>
  </si>
  <si>
    <t xml:space="preserve">RF-03 · HU-07</t>
  </si>
  <si>
    <t xml:space="preserve">cuenta.recuperar_password</t>
  </si>
  <si>
    <t xml:space="preserve">Solicitar recuperación de contraseña por correo</t>
  </si>
  <si>
    <t xml:space="preserve">El enlace expira y sirve una sola vez.</t>
  </si>
  <si>
    <t xml:space="preserve">RF-04 · HU-07</t>
  </si>
  <si>
    <t xml:space="preserve">cuenta.verificar_correo</t>
  </si>
  <si>
    <t xml:space="preserve">Confirmar el correo con el enlace recibido</t>
  </si>
  <si>
    <t xml:space="preserve">RF-02 · HU-06</t>
  </si>
  <si>
    <t xml:space="preserve">cuenta.activar_rol_vendedor</t>
  </si>
  <si>
    <t xml:space="preserve">Agregar el rol de vendedor a una cuenta de comprador</t>
  </si>
  <si>
    <t xml:space="preserve">No crea una cuenta nueva; se agrega el rol en UsuarioRol.</t>
  </si>
  <si>
    <t xml:space="preserve">RF-01 · T02</t>
  </si>
  <si>
    <t xml:space="preserve">perfil.ver_propio</t>
  </si>
  <si>
    <t xml:space="preserve">Ver el propio perfil</t>
  </si>
  <si>
    <t xml:space="preserve">RF-06 · HU-08</t>
  </si>
  <si>
    <t xml:space="preserve">perfil.editar_propio</t>
  </si>
  <si>
    <t xml:space="preserve">Editar los datos del propio perfil</t>
  </si>
  <si>
    <t xml:space="preserve">Cambiar la contraseña invalida las sesiones recordadas.</t>
  </si>
  <si>
    <t xml:space="preserve">perfil.ver_publico</t>
  </si>
  <si>
    <t xml:space="preserve">Ver el perfil público de un vendedor (reseñas, insignia)</t>
  </si>
  <si>
    <t xml:space="preserve">Nunca muestra teléfono ni correo.</t>
  </si>
  <si>
    <t xml:space="preserve">RF-27, RF-30</t>
  </si>
  <si>
    <t xml:space="preserve">perfil.ver_contacto</t>
  </si>
  <si>
    <t xml:space="preserve">Ver teléfono y correo de otro usuario</t>
  </si>
  <si>
    <t xml:space="preserve">Condicional</t>
  </si>
  <si>
    <t xml:space="preserve">Solo si existe una conversación entre ambos usuarios.</t>
  </si>
  <si>
    <t xml:space="preserve">RF-05, RNF-08 · T48</t>
  </si>
  <si>
    <t xml:space="preserve">historial.ver_propio</t>
  </si>
  <si>
    <t xml:space="preserve">Ver el historial propio (vistas, guardadas o publicadas)</t>
  </si>
  <si>
    <t xml:space="preserve">Propio</t>
  </si>
  <si>
    <t xml:space="preserve">El comprador ve vistas y guardadas; el vendedor, sus publicadas.</t>
  </si>
  <si>
    <t xml:space="preserve">Propiedades</t>
  </si>
  <si>
    <t xml:space="preserve">propiedad.ver_catalogo</t>
  </si>
  <si>
    <t xml:space="preserve">Ver el catálogo de propiedades publicadas</t>
  </si>
  <si>
    <t xml:space="preserve">Solo propiedades en estado publicado; el administrador ve todas.</t>
  </si>
  <si>
    <t xml:space="preserve">RF-18 · T23</t>
  </si>
  <si>
    <t xml:space="preserve">propiedad.ver_ficha</t>
  </si>
  <si>
    <t xml:space="preserve">Ver la ficha completa de una propiedad</t>
  </si>
  <si>
    <t xml:space="preserve">Pausadas y borradores solo las ve su dueño y el administrador.</t>
  </si>
  <si>
    <t xml:space="preserve">RF-07 · HU-09</t>
  </si>
  <si>
    <t xml:space="preserve">propiedad.crear</t>
  </si>
  <si>
    <t xml:space="preserve">Crear y guardar un borrador de propiedad</t>
  </si>
  <si>
    <t xml:space="preserve">propiedad.publicar</t>
  </si>
  <si>
    <t xml:space="preserve">Publicar una propiedad</t>
  </si>
  <si>
    <t xml:space="preserve">Requiere correo verificado y verificación de vendedor aprobada.</t>
  </si>
  <si>
    <t xml:space="preserve">RF-02, RF-25 · HU-28</t>
  </si>
  <si>
    <t xml:space="preserve">propiedad.editar</t>
  </si>
  <si>
    <t xml:space="preserve">Editar datos, precio y ubicación</t>
  </si>
  <si>
    <t xml:space="preserve">Solo el dueño. Cambiar el precio registra historial; cambiar la ubicación recalcula el índice.</t>
  </si>
  <si>
    <t xml:space="preserve">RF-10 · HU-10</t>
  </si>
  <si>
    <t xml:space="preserve">propiedad.cambiar_estado</t>
  </si>
  <si>
    <t xml:space="preserve">Pausar, reactivar o marcar como vendida/alquilada</t>
  </si>
  <si>
    <t xml:space="preserve">Solo el dueño. El administrador pausa mediante moderación.</t>
  </si>
  <si>
    <t xml:space="preserve">propiedad.renovar</t>
  </si>
  <si>
    <t xml:space="preserve">Renovar un anuncio próximo a expirar</t>
  </si>
  <si>
    <t xml:space="preserve">Solo el dueño.</t>
  </si>
  <si>
    <t xml:space="preserve">RF-10</t>
  </si>
  <si>
    <t xml:space="preserve">propiedad.eliminar</t>
  </si>
  <si>
    <t xml:space="preserve">Eliminar una propiedad propia</t>
  </si>
  <si>
    <t xml:space="preserve">Solo el dueño. El administrador elimina mediante moderación.</t>
  </si>
  <si>
    <t xml:space="preserve">foto.gestionar</t>
  </si>
  <si>
    <t xml:space="preserve">Subir, ordenar, eliminar fotos y elegir portada</t>
  </si>
  <si>
    <t xml:space="preserve">Solo el dueño. Tamaño y formato validados.</t>
  </si>
  <si>
    <t xml:space="preserve">RF-08 · HU-11</t>
  </si>
  <si>
    <t xml:space="preserve">precio.ver_historial</t>
  </si>
  <si>
    <t xml:space="preserve">Ver la línea de tiempo de precios</t>
  </si>
  <si>
    <t xml:space="preserve">RF-31 · HU-26</t>
  </si>
  <si>
    <t xml:space="preserve">Mapa e índice</t>
  </si>
  <si>
    <t xml:space="preserve">mapa.ver</t>
  </si>
  <si>
    <t xml:space="preserve">Ver mapa, vista satelital y Street View</t>
  </si>
  <si>
    <t xml:space="preserve">RF-09, RF-11 · HU-13</t>
  </si>
  <si>
    <t xml:space="preserve">poi.ver</t>
  </si>
  <si>
    <t xml:space="preserve">Ver puntos de interés, radio y filtro de categorías</t>
  </si>
  <si>
    <t xml:space="preserve">RF-12 a RF-14 · HU-14, HU-15</t>
  </si>
  <si>
    <t xml:space="preserve">indice.ver</t>
  </si>
  <si>
    <t xml:space="preserve">Ver el Índice de Conveniencia y su desglose</t>
  </si>
  <si>
    <t xml:space="preserve">RF-15, RF-16 · HU-18</t>
  </si>
  <si>
    <t xml:space="preserve">indice.recalcular</t>
  </si>
  <si>
    <t xml:space="preserve">Forzar el recálculo del índice</t>
  </si>
  <si>
    <t xml:space="preserve">El sistema recalcula solo al publicar o cambiar la ubicación; el manual es para cambios de pesos.</t>
  </si>
  <si>
    <t xml:space="preserve">RF-17, RNF-13</t>
  </si>
  <si>
    <t xml:space="preserve">indice.configurar_pesos</t>
  </si>
  <si>
    <t xml:space="preserve">Modificar categorías y pesos del algoritmo</t>
  </si>
  <si>
    <t xml:space="preserve">Todo cambio incrementa la versión del algoritmo.</t>
  </si>
  <si>
    <t xml:space="preserve">RNF-13 · HU-16</t>
  </si>
  <si>
    <t xml:space="preserve">Búsqueda y favoritos</t>
  </si>
  <si>
    <t xml:space="preserve">busqueda.usar</t>
  </si>
  <si>
    <t xml:space="preserve">Buscar por texto y filtros combinables</t>
  </si>
  <si>
    <t xml:space="preserve">RF-18 · HU-20</t>
  </si>
  <si>
    <t xml:space="preserve">busqueda.mapa</t>
  </si>
  <si>
    <t xml:space="preserve">Buscar directamente sobre el mapa</t>
  </si>
  <si>
    <t xml:space="preserve">RF-19 · HU-21</t>
  </si>
  <si>
    <t xml:space="preserve">favorito.gestionar</t>
  </si>
  <si>
    <t xml:space="preserve">Guardar y quitar favoritos</t>
  </si>
  <si>
    <t xml:space="preserve">Solo sus propios favoritos.</t>
  </si>
  <si>
    <t xml:space="preserve">RF-20 · HU-22</t>
  </si>
  <si>
    <t xml:space="preserve">comparador.usar</t>
  </si>
  <si>
    <t xml:space="preserve">Comparar hasta 3 favoritos</t>
  </si>
  <si>
    <t xml:space="preserve">Solo entre sus propios favoritos.</t>
  </si>
  <si>
    <t xml:space="preserve">busqueda.guardar_alerta</t>
  </si>
  <si>
    <t xml:space="preserve">Guardar una búsqueda y recibir alertas por correo</t>
  </si>
  <si>
    <t xml:space="preserve">Pendiente: RF-28 no tiene HU ni tarea asignada.</t>
  </si>
  <si>
    <t xml:space="preserve">RF-28</t>
  </si>
  <si>
    <t xml:space="preserve">Mensajería</t>
  </si>
  <si>
    <t xml:space="preserve">conversacion.iniciar</t>
  </si>
  <si>
    <t xml:space="preserve">Iniciar una conversación con el vendedor de una propiedad</t>
  </si>
  <si>
    <t xml:space="preserve">Una por propiedad; no puede ser sobre una propiedad propia.</t>
  </si>
  <si>
    <t xml:space="preserve">RF-21 · HU-23</t>
  </si>
  <si>
    <t xml:space="preserve">mensaje.enviar</t>
  </si>
  <si>
    <t xml:space="preserve">Enviar mensajes en una conversación</t>
  </si>
  <si>
    <t xml:space="preserve">Solo si participa en la conversación. Con rate limiting.</t>
  </si>
  <si>
    <t xml:space="preserve">RF-21, RNF-07 · HU-23</t>
  </si>
  <si>
    <t xml:space="preserve">conversacion.ver_propias</t>
  </si>
  <si>
    <t xml:space="preserve">Ver sus conversaciones e historial</t>
  </si>
  <si>
    <t xml:space="preserve">Solo las conversaciones en las que participa.</t>
  </si>
  <si>
    <t xml:space="preserve">RF-23 · HU-23</t>
  </si>
  <si>
    <t xml:space="preserve">notificacion.ver_propias</t>
  </si>
  <si>
    <t xml:space="preserve">Ver y marcar como leídas sus notificaciones</t>
  </si>
  <si>
    <t xml:space="preserve">RF-22, RF-28</t>
  </si>
  <si>
    <t xml:space="preserve">Agenda de visitas</t>
  </si>
  <si>
    <t xml:space="preserve">disponibilidad.gestionar</t>
  </si>
  <si>
    <t xml:space="preserve">Definir horarios disponibles para visitas</t>
  </si>
  <si>
    <t xml:space="preserve">Solo su propia disponibilidad; sin franjas superpuestas.</t>
  </si>
  <si>
    <t xml:space="preserve">RF-29 · HU-24</t>
  </si>
  <si>
    <t xml:space="preserve">visita.solicitar</t>
  </si>
  <si>
    <t xml:space="preserve">Solicitar una visita en un horario disponible</t>
  </si>
  <si>
    <t xml:space="preserve">Dentro de la disponibilidad del vendedor y sin choque con otra visita.</t>
  </si>
  <si>
    <t xml:space="preserve">RF-29 · HU-24B</t>
  </si>
  <si>
    <t xml:space="preserve">visita.confirmar</t>
  </si>
  <si>
    <t xml:space="preserve">Confirmar o reprogramar una visita</t>
  </si>
  <si>
    <t xml:space="preserve">Solo visitas a sus propiedades.</t>
  </si>
  <si>
    <t xml:space="preserve">visita.cancelar</t>
  </si>
  <si>
    <t xml:space="preserve">Cancelar una visita</t>
  </si>
  <si>
    <t xml:space="preserve">El comprador cancela las que solicitó; el vendedor, las de sus propiedades.</t>
  </si>
  <si>
    <t xml:space="preserve">RF-29</t>
  </si>
  <si>
    <t xml:space="preserve">visita.ver_propias</t>
  </si>
  <si>
    <t xml:space="preserve">Ver sus visitas agendadas</t>
  </si>
  <si>
    <t xml:space="preserve">Reputación</t>
  </si>
  <si>
    <t xml:space="preserve">resena.crear</t>
  </si>
  <si>
    <t xml:space="preserve">Calificar y reseñar a un vendedor</t>
  </si>
  <si>
    <t xml:space="preserve">Requiere conversación o visita realizada; una por propiedad; no a sí mismo.</t>
  </si>
  <si>
    <t xml:space="preserve">RF-30 · HU-25</t>
  </si>
  <si>
    <t xml:space="preserve">resena.ver</t>
  </si>
  <si>
    <t xml:space="preserve">Ver reseñas y calificación promedio</t>
  </si>
  <si>
    <t xml:space="preserve">comentario_zona.crear</t>
  </si>
  <si>
    <t xml:space="preserve">Comentar sobre la zona de una propiedad</t>
  </si>
  <si>
    <t xml:space="preserve">Requiere conversación o visita realizada.</t>
  </si>
  <si>
    <t xml:space="preserve">comentario_zona.ver</t>
  </si>
  <si>
    <t xml:space="preserve">Ver comentarios sobre la zona</t>
  </si>
  <si>
    <t xml:space="preserve">Solo comentarios en estado visible.</t>
  </si>
  <si>
    <t xml:space="preserve">reporte.crear</t>
  </si>
  <si>
    <t xml:space="preserve">Reportar una publicación, usuario o comentario</t>
  </si>
  <si>
    <t xml:space="preserve">Un reporte pendiente por usuario y objetivo.</t>
  </si>
  <si>
    <t xml:space="preserve">RF-25 · HU-28</t>
  </si>
  <si>
    <t xml:space="preserve">verificacion.solicitar</t>
  </si>
  <si>
    <t xml:space="preserve">Enviar documentos para verificación de identidad</t>
  </si>
  <si>
    <t xml:space="preserve">Puede reenviar si la solicitud anterior fue rechazada.</t>
  </si>
  <si>
    <t xml:space="preserve">estadisticas.ver_propias</t>
  </si>
  <si>
    <t xml:space="preserve">Ver estadísticas de sus propiedades</t>
  </si>
  <si>
    <t xml:space="preserve">Solo de sus propias propiedades.</t>
  </si>
  <si>
    <t xml:space="preserve">RF-24 · HU-27</t>
  </si>
  <si>
    <t xml:space="preserve">Administración</t>
  </si>
  <si>
    <t xml:space="preserve">verificacion.revisar</t>
  </si>
  <si>
    <t xml:space="preserve">Aprobar o rechazar verificaciones de vendedores</t>
  </si>
  <si>
    <t xml:space="preserve">Motivo obligatorio al rechazar.</t>
  </si>
  <si>
    <t xml:space="preserve">RF-25, RF-27 · HU-28</t>
  </si>
  <si>
    <t xml:space="preserve">moderacion.ver_reportes</t>
  </si>
  <si>
    <t xml:space="preserve">Ver y atender la cola de reportes</t>
  </si>
  <si>
    <t xml:space="preserve">RF-26 · HU-29</t>
  </si>
  <si>
    <t xml:space="preserve">moderacion.publicacion</t>
  </si>
  <si>
    <t xml:space="preserve">Aprobar, pausar o eliminar publicaciones</t>
  </si>
  <si>
    <t xml:space="preserve">Toda acción se registra en AccionModeracion con motivo.</t>
  </si>
  <si>
    <t xml:space="preserve">RF-26 · HU-29, T33</t>
  </si>
  <si>
    <t xml:space="preserve">moderacion.comentario</t>
  </si>
  <si>
    <t xml:space="preserve">Ocultar reseñas o comentarios de zona</t>
  </si>
  <si>
    <t xml:space="preserve">Se ocultan, no se borran. Queda registro.</t>
  </si>
  <si>
    <t xml:space="preserve">RF-30, RF-32</t>
  </si>
  <si>
    <t xml:space="preserve">usuario.listar</t>
  </si>
  <si>
    <t xml:space="preserve">Ver y buscar usuarios de la plataforma</t>
  </si>
  <si>
    <t xml:space="preserve">RF-32 · HU-29</t>
  </si>
  <si>
    <t xml:space="preserve">usuario.suspender</t>
  </si>
  <si>
    <t xml:space="preserve">Suspender, inhabilitar o reactivar cuentas</t>
  </si>
  <si>
    <t xml:space="preserve">Invalida las sesiones activas del usuario. Queda registro.</t>
  </si>
  <si>
    <t xml:space="preserve">RF-32 · T33</t>
  </si>
  <si>
    <t xml:space="preserve">usuario.asignar_admin</t>
  </si>
  <si>
    <t xml:space="preserve">Asignar o quitar el rol de administrador</t>
  </si>
  <si>
    <t xml:space="preserve">Un administrador no puede quitarse su propio rol.</t>
  </si>
  <si>
    <t xml:space="preserve">T02, T04</t>
  </si>
  <si>
    <t xml:space="preserve">estadisticas.ver_generales</t>
  </si>
  <si>
    <t xml:space="preserve">Ver estadísticas generales de la plataforma</t>
  </si>
  <si>
    <t xml:space="preserve">RF-33 · HU-29</t>
  </si>
  <si>
    <t xml:space="preserve">auditoria.ver</t>
  </si>
  <si>
    <t xml:space="preserve">Ver el historial de acciones de moderación</t>
  </si>
  <si>
    <t xml:space="preserve">Solo lectura; los registros no se editan ni borran.</t>
  </si>
  <si>
    <t xml:space="preserve">RF-26, RF-32</t>
  </si>
  <si>
    <t xml:space="preserve">Resumen de permisos por rol</t>
  </si>
  <si>
    <t xml:space="preserve">Nivel de acceso</t>
  </si>
  <si>
    <t xml:space="preserve">Total con algún acceso</t>
  </si>
  <si>
    <t xml:space="preserve">Total de permisos</t>
  </si>
  <si>
    <t xml:space="preserve">Permisos con algún acceso, por módulo</t>
  </si>
  <si>
    <t xml:space="preserve">Permisos del módulo</t>
  </si>
  <si>
    <t xml:space="preserve">Leyenda y reglas generales</t>
  </si>
  <si>
    <t xml:space="preserve">Permitido sin restricciones adicionales para ese rol.</t>
  </si>
  <si>
    <t xml:space="preserve">Permitido solo sobre recursos del propio usuario (sus propiedades, visitas, conversaciones, favoritos). El backend verifica la propiedad del recurso en cada petición.</t>
  </si>
  <si>
    <t xml:space="preserve">Permitido solo si se cumple la condición de la columna "Condición / regla de negocio" (por ejemplo, correo verificado o conversación previa).</t>
  </si>
  <si>
    <t xml:space="preserve">No permitido. El backend responde 403 (o 401 si no hay sesión).</t>
  </si>
  <si>
    <t xml:space="preserve">Regla 1</t>
  </si>
  <si>
    <t xml:space="preserve">Los roles son acumulativos: una cuenta con rol comprador y vendedor tiene la unión de los permisos de ambas columnas.</t>
  </si>
  <si>
    <t xml:space="preserve">Regla 2</t>
  </si>
  <si>
    <t xml:space="preserve">"Visitante" no es un rol en la base de datos: representa las rutas públicas que no exigen JWT. En la tabla Rol solo existen comprador, vendedor y administrador.</t>
  </si>
  <si>
    <t xml:space="preserve">Regla 3</t>
  </si>
  <si>
    <t xml:space="preserve">Al cargar RolPermiso, "Propio" y "Condicional" se registran como permiso concedido; la verificación de propiedad o de la condición se implementa en el backend (middleware o servicio).</t>
  </si>
  <si>
    <t xml:space="preserve">Regla 4</t>
  </si>
  <si>
    <t xml:space="preserve">Toda autorización se valida en el backend. Ocultar botones en el frontend mejora la experiencia, pero no protege el sistema (RNF-05, T29).</t>
  </si>
  <si>
    <t xml:space="preserve">Regla 5</t>
  </si>
  <si>
    <t xml:space="preserve">El administrador no compra ni publica con su cuenta administrativa; si un integrante necesita hacerlo, usa otra cuenta. Así se separan funciones y la auditoría queda limpia.</t>
  </si>
  <si>
    <t xml:space="preserve">Regla 6</t>
  </si>
  <si>
    <t xml:space="preserve">El administrador no lee conversaciones privadas. Si en el futuro se permite reportar mensajes, se agregaría un permiso específico ligado a un reporte.</t>
  </si>
  <si>
    <t xml:space="preserve">Regla 7</t>
  </si>
  <si>
    <t xml:space="preserve">Una cuenta suspendida o inhabilitada pierde todos los permisos, aunque tenga un JWT sin expirar.</t>
  </si>
  <si>
    <t xml:space="preserve">Por decidir</t>
  </si>
  <si>
    <t xml:space="preserve">"Aprobar publicaciones" (RF-26, T33): si toda publicación debe aprobarse antes de verse, Propiedad necesita el estado "pendiente de revisión". Si solo se revisan las reportadas, las publicaciones se ven de inmediato.</t>
  </si>
  <si>
    <t xml:space="preserve">"Guardar búsqueda y alertas" (RF-28) no tiene HU ni tarea asignada en el backlog actual.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</si>
</sst>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Courier New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D9E1F2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FEB9C"/>
        <bgColor rgb="FFFCE4D6"/>
      </patternFill>
    </fill>
    <fill>
      <patternFill patternType="solid">
        <fgColor rgb="FFF2F2F2"/>
        <bgColor rgb="FFDDEBF7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1F4E78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B9C"/>
        </patternFill>
      </fill>
    </dxf>
    <dxf>
      <font>
        <name val="Arial"/>
        <charset val="1"/>
        <family val="0"/>
        <color rgb="FFA6A6A6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D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6" min="4" style="0" width="13"/>
    <col collapsed="false" customWidth="true" hidden="false" outlineLevel="0" max="7" min="7" style="0" width="14"/>
    <col collapsed="false" customWidth="true" hidden="false" outlineLevel="0" max="8" min="8" style="0" width="60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3.85" hidden="false" customHeight="false" outlineLevel="0" collapsed="false">
      <c r="A5" s="4" t="s">
        <v>11</v>
      </c>
      <c r="B5" s="5" t="s">
        <v>12</v>
      </c>
      <c r="C5" s="6" t="s">
        <v>13</v>
      </c>
      <c r="D5" s="7" t="s">
        <v>14</v>
      </c>
      <c r="E5" s="7" t="s">
        <v>15</v>
      </c>
      <c r="F5" s="7" t="s">
        <v>15</v>
      </c>
      <c r="G5" s="7" t="s">
        <v>15</v>
      </c>
      <c r="H5" s="6" t="s">
        <v>16</v>
      </c>
      <c r="I5" s="6" t="s">
        <v>17</v>
      </c>
    </row>
    <row r="6" customFormat="false" ht="15" hidden="false" customHeight="false" outlineLevel="0" collapsed="false">
      <c r="A6" s="6" t="s">
        <v>11</v>
      </c>
      <c r="B6" s="5" t="s">
        <v>18</v>
      </c>
      <c r="C6" s="6" t="s">
        <v>19</v>
      </c>
      <c r="D6" s="7" t="s">
        <v>14</v>
      </c>
      <c r="E6" s="7" t="s">
        <v>15</v>
      </c>
      <c r="F6" s="7" t="s">
        <v>15</v>
      </c>
      <c r="G6" s="7" t="s">
        <v>15</v>
      </c>
      <c r="H6" s="6" t="s">
        <v>20</v>
      </c>
      <c r="I6" s="6" t="s">
        <v>21</v>
      </c>
    </row>
    <row r="7" customFormat="false" ht="15" hidden="false" customHeight="false" outlineLevel="0" collapsed="false">
      <c r="A7" s="6" t="s">
        <v>11</v>
      </c>
      <c r="B7" s="5" t="s">
        <v>22</v>
      </c>
      <c r="C7" s="6" t="s">
        <v>23</v>
      </c>
      <c r="D7" s="7" t="s">
        <v>14</v>
      </c>
      <c r="E7" s="7" t="s">
        <v>15</v>
      </c>
      <c r="F7" s="7" t="s">
        <v>15</v>
      </c>
      <c r="G7" s="7" t="s">
        <v>15</v>
      </c>
      <c r="H7" s="6" t="s">
        <v>24</v>
      </c>
      <c r="I7" s="6" t="s">
        <v>25</v>
      </c>
    </row>
    <row r="8" customFormat="false" ht="15" hidden="false" customHeight="false" outlineLevel="0" collapsed="false">
      <c r="A8" s="6" t="s">
        <v>11</v>
      </c>
      <c r="B8" s="5" t="s">
        <v>26</v>
      </c>
      <c r="C8" s="6" t="s">
        <v>27</v>
      </c>
      <c r="D8" s="7" t="s">
        <v>14</v>
      </c>
      <c r="E8" s="7" t="s">
        <v>14</v>
      </c>
      <c r="F8" s="7" t="s">
        <v>14</v>
      </c>
      <c r="G8" s="7" t="s">
        <v>15</v>
      </c>
      <c r="H8" s="6" t="s">
        <v>24</v>
      </c>
      <c r="I8" s="6" t="s">
        <v>28</v>
      </c>
    </row>
    <row r="9" customFormat="false" ht="15" hidden="false" customHeight="false" outlineLevel="0" collapsed="false">
      <c r="A9" s="6" t="s">
        <v>11</v>
      </c>
      <c r="B9" s="5" t="s">
        <v>29</v>
      </c>
      <c r="C9" s="6" t="s">
        <v>30</v>
      </c>
      <c r="D9" s="7" t="s">
        <v>15</v>
      </c>
      <c r="E9" s="7" t="s">
        <v>14</v>
      </c>
      <c r="F9" s="7" t="s">
        <v>15</v>
      </c>
      <c r="G9" s="7" t="s">
        <v>15</v>
      </c>
      <c r="H9" s="6" t="s">
        <v>31</v>
      </c>
      <c r="I9" s="6" t="s">
        <v>32</v>
      </c>
    </row>
    <row r="10" customFormat="false" ht="15" hidden="false" customHeight="false" outlineLevel="0" collapsed="false">
      <c r="A10" s="6" t="s">
        <v>11</v>
      </c>
      <c r="B10" s="5" t="s">
        <v>33</v>
      </c>
      <c r="C10" s="6" t="s">
        <v>34</v>
      </c>
      <c r="D10" s="7" t="s">
        <v>15</v>
      </c>
      <c r="E10" s="7" t="s">
        <v>14</v>
      </c>
      <c r="F10" s="7" t="s">
        <v>14</v>
      </c>
      <c r="G10" s="7" t="s">
        <v>14</v>
      </c>
      <c r="H10" s="6"/>
      <c r="I10" s="6" t="s">
        <v>35</v>
      </c>
    </row>
    <row r="11" customFormat="false" ht="15" hidden="false" customHeight="false" outlineLevel="0" collapsed="false">
      <c r="A11" s="6" t="s">
        <v>11</v>
      </c>
      <c r="B11" s="5" t="s">
        <v>36</v>
      </c>
      <c r="C11" s="6" t="s">
        <v>37</v>
      </c>
      <c r="D11" s="7" t="s">
        <v>15</v>
      </c>
      <c r="E11" s="7" t="s">
        <v>14</v>
      </c>
      <c r="F11" s="7" t="s">
        <v>14</v>
      </c>
      <c r="G11" s="7" t="s">
        <v>14</v>
      </c>
      <c r="H11" s="6" t="s">
        <v>38</v>
      </c>
      <c r="I11" s="6" t="s">
        <v>35</v>
      </c>
    </row>
    <row r="12" customFormat="false" ht="15" hidden="false" customHeight="false" outlineLevel="0" collapsed="false">
      <c r="A12" s="6" t="s">
        <v>11</v>
      </c>
      <c r="B12" s="5" t="s">
        <v>39</v>
      </c>
      <c r="C12" s="6" t="s">
        <v>40</v>
      </c>
      <c r="D12" s="7" t="s">
        <v>14</v>
      </c>
      <c r="E12" s="7" t="s">
        <v>14</v>
      </c>
      <c r="F12" s="7" t="s">
        <v>14</v>
      </c>
      <c r="G12" s="7" t="s">
        <v>14</v>
      </c>
      <c r="H12" s="6" t="s">
        <v>41</v>
      </c>
      <c r="I12" s="6" t="s">
        <v>42</v>
      </c>
    </row>
    <row r="13" customFormat="false" ht="15" hidden="false" customHeight="false" outlineLevel="0" collapsed="false">
      <c r="A13" s="6" t="s">
        <v>11</v>
      </c>
      <c r="B13" s="5" t="s">
        <v>43</v>
      </c>
      <c r="C13" s="6" t="s">
        <v>44</v>
      </c>
      <c r="D13" s="7" t="s">
        <v>15</v>
      </c>
      <c r="E13" s="7" t="s">
        <v>45</v>
      </c>
      <c r="F13" s="7" t="s">
        <v>45</v>
      </c>
      <c r="G13" s="7" t="s">
        <v>14</v>
      </c>
      <c r="H13" s="6" t="s">
        <v>46</v>
      </c>
      <c r="I13" s="6" t="s">
        <v>47</v>
      </c>
    </row>
    <row r="14" customFormat="false" ht="15" hidden="false" customHeight="false" outlineLevel="0" collapsed="false">
      <c r="A14" s="6" t="s">
        <v>11</v>
      </c>
      <c r="B14" s="5" t="s">
        <v>48</v>
      </c>
      <c r="C14" s="6" t="s">
        <v>49</v>
      </c>
      <c r="D14" s="7" t="s">
        <v>15</v>
      </c>
      <c r="E14" s="7" t="s">
        <v>50</v>
      </c>
      <c r="F14" s="7" t="s">
        <v>50</v>
      </c>
      <c r="G14" s="7" t="s">
        <v>15</v>
      </c>
      <c r="H14" s="6" t="s">
        <v>51</v>
      </c>
      <c r="I14" s="6" t="s">
        <v>35</v>
      </c>
    </row>
    <row r="15" customFormat="false" ht="15" hidden="false" customHeight="false" outlineLevel="0" collapsed="false">
      <c r="A15" s="4" t="s">
        <v>52</v>
      </c>
      <c r="B15" s="5" t="s">
        <v>53</v>
      </c>
      <c r="C15" s="6" t="s">
        <v>54</v>
      </c>
      <c r="D15" s="7" t="s">
        <v>14</v>
      </c>
      <c r="E15" s="7" t="s">
        <v>14</v>
      </c>
      <c r="F15" s="7" t="s">
        <v>14</v>
      </c>
      <c r="G15" s="7" t="s">
        <v>14</v>
      </c>
      <c r="H15" s="6" t="s">
        <v>55</v>
      </c>
      <c r="I15" s="6" t="s">
        <v>56</v>
      </c>
    </row>
    <row r="16" customFormat="false" ht="15" hidden="false" customHeight="false" outlineLevel="0" collapsed="false">
      <c r="A16" s="6" t="s">
        <v>52</v>
      </c>
      <c r="B16" s="5" t="s">
        <v>57</v>
      </c>
      <c r="C16" s="6" t="s">
        <v>58</v>
      </c>
      <c r="D16" s="7" t="s">
        <v>14</v>
      </c>
      <c r="E16" s="7" t="s">
        <v>14</v>
      </c>
      <c r="F16" s="7" t="s">
        <v>14</v>
      </c>
      <c r="G16" s="7" t="s">
        <v>14</v>
      </c>
      <c r="H16" s="6" t="s">
        <v>59</v>
      </c>
      <c r="I16" s="6" t="s">
        <v>60</v>
      </c>
    </row>
    <row r="17" customFormat="false" ht="15" hidden="false" customHeight="false" outlineLevel="0" collapsed="false">
      <c r="A17" s="6" t="s">
        <v>52</v>
      </c>
      <c r="B17" s="5" t="s">
        <v>61</v>
      </c>
      <c r="C17" s="6" t="s">
        <v>62</v>
      </c>
      <c r="D17" s="7" t="s">
        <v>15</v>
      </c>
      <c r="E17" s="7" t="s">
        <v>15</v>
      </c>
      <c r="F17" s="7" t="s">
        <v>14</v>
      </c>
      <c r="G17" s="7" t="s">
        <v>15</v>
      </c>
      <c r="H17" s="6"/>
      <c r="I17" s="6" t="s">
        <v>60</v>
      </c>
    </row>
    <row r="18" customFormat="false" ht="15" hidden="false" customHeight="false" outlineLevel="0" collapsed="false">
      <c r="A18" s="6" t="s">
        <v>52</v>
      </c>
      <c r="B18" s="5" t="s">
        <v>63</v>
      </c>
      <c r="C18" s="6" t="s">
        <v>64</v>
      </c>
      <c r="D18" s="7" t="s">
        <v>15</v>
      </c>
      <c r="E18" s="7" t="s">
        <v>15</v>
      </c>
      <c r="F18" s="7" t="s">
        <v>45</v>
      </c>
      <c r="G18" s="7" t="s">
        <v>15</v>
      </c>
      <c r="H18" s="6" t="s">
        <v>65</v>
      </c>
      <c r="I18" s="6" t="s">
        <v>66</v>
      </c>
    </row>
    <row r="19" customFormat="false" ht="23.85" hidden="false" customHeight="false" outlineLevel="0" collapsed="false">
      <c r="A19" s="6" t="s">
        <v>52</v>
      </c>
      <c r="B19" s="5" t="s">
        <v>67</v>
      </c>
      <c r="C19" s="6" t="s">
        <v>68</v>
      </c>
      <c r="D19" s="7" t="s">
        <v>15</v>
      </c>
      <c r="E19" s="7" t="s">
        <v>15</v>
      </c>
      <c r="F19" s="7" t="s">
        <v>50</v>
      </c>
      <c r="G19" s="7" t="s">
        <v>15</v>
      </c>
      <c r="H19" s="6" t="s">
        <v>69</v>
      </c>
      <c r="I19" s="6" t="s">
        <v>70</v>
      </c>
    </row>
    <row r="20" customFormat="false" ht="15" hidden="false" customHeight="false" outlineLevel="0" collapsed="false">
      <c r="A20" s="6" t="s">
        <v>52</v>
      </c>
      <c r="B20" s="5" t="s">
        <v>71</v>
      </c>
      <c r="C20" s="6" t="s">
        <v>72</v>
      </c>
      <c r="D20" s="7" t="s">
        <v>15</v>
      </c>
      <c r="E20" s="7" t="s">
        <v>15</v>
      </c>
      <c r="F20" s="7" t="s">
        <v>50</v>
      </c>
      <c r="G20" s="7" t="s">
        <v>15</v>
      </c>
      <c r="H20" s="6" t="s">
        <v>73</v>
      </c>
      <c r="I20" s="6" t="s">
        <v>70</v>
      </c>
    </row>
    <row r="21" customFormat="false" ht="15" hidden="false" customHeight="false" outlineLevel="0" collapsed="false">
      <c r="A21" s="6" t="s">
        <v>52</v>
      </c>
      <c r="B21" s="5" t="s">
        <v>74</v>
      </c>
      <c r="C21" s="6" t="s">
        <v>75</v>
      </c>
      <c r="D21" s="7" t="s">
        <v>15</v>
      </c>
      <c r="E21" s="7" t="s">
        <v>15</v>
      </c>
      <c r="F21" s="7" t="s">
        <v>50</v>
      </c>
      <c r="G21" s="7" t="s">
        <v>15</v>
      </c>
      <c r="H21" s="6" t="s">
        <v>76</v>
      </c>
      <c r="I21" s="6" t="s">
        <v>77</v>
      </c>
    </row>
    <row r="22" customFormat="false" ht="15" hidden="false" customHeight="false" outlineLevel="0" collapsed="false">
      <c r="A22" s="6" t="s">
        <v>52</v>
      </c>
      <c r="B22" s="5" t="s">
        <v>78</v>
      </c>
      <c r="C22" s="6" t="s">
        <v>79</v>
      </c>
      <c r="D22" s="7" t="s">
        <v>15</v>
      </c>
      <c r="E22" s="7" t="s">
        <v>15</v>
      </c>
      <c r="F22" s="7" t="s">
        <v>50</v>
      </c>
      <c r="G22" s="7" t="s">
        <v>15</v>
      </c>
      <c r="H22" s="6" t="s">
        <v>80</v>
      </c>
      <c r="I22" s="6" t="s">
        <v>70</v>
      </c>
    </row>
    <row r="23" customFormat="false" ht="15" hidden="false" customHeight="false" outlineLevel="0" collapsed="false">
      <c r="A23" s="6" t="s">
        <v>52</v>
      </c>
      <c r="B23" s="5" t="s">
        <v>81</v>
      </c>
      <c r="C23" s="6" t="s">
        <v>82</v>
      </c>
      <c r="D23" s="7" t="s">
        <v>15</v>
      </c>
      <c r="E23" s="7" t="s">
        <v>15</v>
      </c>
      <c r="F23" s="7" t="s">
        <v>50</v>
      </c>
      <c r="G23" s="7" t="s">
        <v>15</v>
      </c>
      <c r="H23" s="6" t="s">
        <v>83</v>
      </c>
      <c r="I23" s="6" t="s">
        <v>84</v>
      </c>
    </row>
    <row r="24" customFormat="false" ht="15" hidden="false" customHeight="false" outlineLevel="0" collapsed="false">
      <c r="A24" s="6" t="s">
        <v>52</v>
      </c>
      <c r="B24" s="5" t="s">
        <v>85</v>
      </c>
      <c r="C24" s="6" t="s">
        <v>86</v>
      </c>
      <c r="D24" s="7" t="s">
        <v>14</v>
      </c>
      <c r="E24" s="7" t="s">
        <v>14</v>
      </c>
      <c r="F24" s="7" t="s">
        <v>14</v>
      </c>
      <c r="G24" s="7" t="s">
        <v>14</v>
      </c>
      <c r="H24" s="6"/>
      <c r="I24" s="6" t="s">
        <v>87</v>
      </c>
    </row>
    <row r="25" customFormat="false" ht="15" hidden="false" customHeight="false" outlineLevel="0" collapsed="false">
      <c r="A25" s="4" t="s">
        <v>88</v>
      </c>
      <c r="B25" s="5" t="s">
        <v>89</v>
      </c>
      <c r="C25" s="6" t="s">
        <v>90</v>
      </c>
      <c r="D25" s="7" t="s">
        <v>14</v>
      </c>
      <c r="E25" s="7" t="s">
        <v>14</v>
      </c>
      <c r="F25" s="7" t="s">
        <v>14</v>
      </c>
      <c r="G25" s="7" t="s">
        <v>14</v>
      </c>
      <c r="H25" s="6"/>
      <c r="I25" s="6" t="s">
        <v>91</v>
      </c>
    </row>
    <row r="26" customFormat="false" ht="23.85" hidden="false" customHeight="false" outlineLevel="0" collapsed="false">
      <c r="A26" s="6" t="s">
        <v>88</v>
      </c>
      <c r="B26" s="5" t="s">
        <v>92</v>
      </c>
      <c r="C26" s="6" t="s">
        <v>93</v>
      </c>
      <c r="D26" s="7" t="s">
        <v>14</v>
      </c>
      <c r="E26" s="7" t="s">
        <v>14</v>
      </c>
      <c r="F26" s="7" t="s">
        <v>14</v>
      </c>
      <c r="G26" s="7" t="s">
        <v>14</v>
      </c>
      <c r="H26" s="6"/>
      <c r="I26" s="6" t="s">
        <v>94</v>
      </c>
    </row>
    <row r="27" customFormat="false" ht="15" hidden="false" customHeight="false" outlineLevel="0" collapsed="false">
      <c r="A27" s="6" t="s">
        <v>88</v>
      </c>
      <c r="B27" s="5" t="s">
        <v>95</v>
      </c>
      <c r="C27" s="6" t="s">
        <v>96</v>
      </c>
      <c r="D27" s="7" t="s">
        <v>14</v>
      </c>
      <c r="E27" s="7" t="s">
        <v>14</v>
      </c>
      <c r="F27" s="7" t="s">
        <v>14</v>
      </c>
      <c r="G27" s="7" t="s">
        <v>14</v>
      </c>
      <c r="H27" s="6"/>
      <c r="I27" s="6" t="s">
        <v>97</v>
      </c>
    </row>
    <row r="28" customFormat="false" ht="23.85" hidden="false" customHeight="false" outlineLevel="0" collapsed="false">
      <c r="A28" s="6" t="s">
        <v>88</v>
      </c>
      <c r="B28" s="5" t="s">
        <v>98</v>
      </c>
      <c r="C28" s="6" t="s">
        <v>99</v>
      </c>
      <c r="D28" s="7" t="s">
        <v>15</v>
      </c>
      <c r="E28" s="7" t="s">
        <v>15</v>
      </c>
      <c r="F28" s="7" t="s">
        <v>15</v>
      </c>
      <c r="G28" s="7" t="s">
        <v>14</v>
      </c>
      <c r="H28" s="6" t="s">
        <v>100</v>
      </c>
      <c r="I28" s="6" t="s">
        <v>101</v>
      </c>
    </row>
    <row r="29" customFormat="false" ht="15" hidden="false" customHeight="false" outlineLevel="0" collapsed="false">
      <c r="A29" s="6" t="s">
        <v>88</v>
      </c>
      <c r="B29" s="5" t="s">
        <v>102</v>
      </c>
      <c r="C29" s="6" t="s">
        <v>103</v>
      </c>
      <c r="D29" s="7" t="s">
        <v>15</v>
      </c>
      <c r="E29" s="7" t="s">
        <v>15</v>
      </c>
      <c r="F29" s="7" t="s">
        <v>15</v>
      </c>
      <c r="G29" s="7" t="s">
        <v>14</v>
      </c>
      <c r="H29" s="6" t="s">
        <v>104</v>
      </c>
      <c r="I29" s="6" t="s">
        <v>105</v>
      </c>
    </row>
    <row r="30" customFormat="false" ht="15" hidden="false" customHeight="false" outlineLevel="0" collapsed="false">
      <c r="A30" s="4" t="s">
        <v>106</v>
      </c>
      <c r="B30" s="5" t="s">
        <v>107</v>
      </c>
      <c r="C30" s="6" t="s">
        <v>108</v>
      </c>
      <c r="D30" s="7" t="s">
        <v>14</v>
      </c>
      <c r="E30" s="7" t="s">
        <v>14</v>
      </c>
      <c r="F30" s="7" t="s">
        <v>14</v>
      </c>
      <c r="G30" s="7" t="s">
        <v>14</v>
      </c>
      <c r="H30" s="6"/>
      <c r="I30" s="6" t="s">
        <v>109</v>
      </c>
    </row>
    <row r="31" customFormat="false" ht="15" hidden="false" customHeight="false" outlineLevel="0" collapsed="false">
      <c r="A31" s="6" t="s">
        <v>106</v>
      </c>
      <c r="B31" s="5" t="s">
        <v>110</v>
      </c>
      <c r="C31" s="6" t="s">
        <v>111</v>
      </c>
      <c r="D31" s="7" t="s">
        <v>14</v>
      </c>
      <c r="E31" s="7" t="s">
        <v>14</v>
      </c>
      <c r="F31" s="7" t="s">
        <v>14</v>
      </c>
      <c r="G31" s="7" t="s">
        <v>14</v>
      </c>
      <c r="H31" s="6"/>
      <c r="I31" s="6" t="s">
        <v>112</v>
      </c>
    </row>
    <row r="32" customFormat="false" ht="15" hidden="false" customHeight="false" outlineLevel="0" collapsed="false">
      <c r="A32" s="6" t="s">
        <v>106</v>
      </c>
      <c r="B32" s="5" t="s">
        <v>113</v>
      </c>
      <c r="C32" s="6" t="s">
        <v>114</v>
      </c>
      <c r="D32" s="7" t="s">
        <v>15</v>
      </c>
      <c r="E32" s="7" t="s">
        <v>50</v>
      </c>
      <c r="F32" s="7" t="s">
        <v>15</v>
      </c>
      <c r="G32" s="7" t="s">
        <v>15</v>
      </c>
      <c r="H32" s="6" t="s">
        <v>115</v>
      </c>
      <c r="I32" s="6" t="s">
        <v>116</v>
      </c>
    </row>
    <row r="33" customFormat="false" ht="15" hidden="false" customHeight="false" outlineLevel="0" collapsed="false">
      <c r="A33" s="6" t="s">
        <v>106</v>
      </c>
      <c r="B33" s="5" t="s">
        <v>117</v>
      </c>
      <c r="C33" s="6" t="s">
        <v>118</v>
      </c>
      <c r="D33" s="7" t="s">
        <v>15</v>
      </c>
      <c r="E33" s="7" t="s">
        <v>50</v>
      </c>
      <c r="F33" s="7" t="s">
        <v>15</v>
      </c>
      <c r="G33" s="7" t="s">
        <v>15</v>
      </c>
      <c r="H33" s="6" t="s">
        <v>119</v>
      </c>
      <c r="I33" s="6" t="s">
        <v>116</v>
      </c>
    </row>
    <row r="34" customFormat="false" ht="15" hidden="false" customHeight="false" outlineLevel="0" collapsed="false">
      <c r="A34" s="6" t="s">
        <v>106</v>
      </c>
      <c r="B34" s="5" t="s">
        <v>120</v>
      </c>
      <c r="C34" s="6" t="s">
        <v>121</v>
      </c>
      <c r="D34" s="7" t="s">
        <v>15</v>
      </c>
      <c r="E34" s="7" t="s">
        <v>50</v>
      </c>
      <c r="F34" s="7" t="s">
        <v>15</v>
      </c>
      <c r="G34" s="7" t="s">
        <v>15</v>
      </c>
      <c r="H34" s="6" t="s">
        <v>122</v>
      </c>
      <c r="I34" s="6" t="s">
        <v>123</v>
      </c>
    </row>
    <row r="35" customFormat="false" ht="23.85" hidden="false" customHeight="false" outlineLevel="0" collapsed="false">
      <c r="A35" s="4" t="s">
        <v>124</v>
      </c>
      <c r="B35" s="5" t="s">
        <v>125</v>
      </c>
      <c r="C35" s="6" t="s">
        <v>126</v>
      </c>
      <c r="D35" s="7" t="s">
        <v>15</v>
      </c>
      <c r="E35" s="7" t="s">
        <v>45</v>
      </c>
      <c r="F35" s="7" t="s">
        <v>15</v>
      </c>
      <c r="G35" s="7" t="s">
        <v>15</v>
      </c>
      <c r="H35" s="6" t="s">
        <v>127</v>
      </c>
      <c r="I35" s="6" t="s">
        <v>128</v>
      </c>
    </row>
    <row r="36" customFormat="false" ht="15" hidden="false" customHeight="false" outlineLevel="0" collapsed="false">
      <c r="A36" s="6" t="s">
        <v>124</v>
      </c>
      <c r="B36" s="5" t="s">
        <v>129</v>
      </c>
      <c r="C36" s="6" t="s">
        <v>130</v>
      </c>
      <c r="D36" s="7" t="s">
        <v>15</v>
      </c>
      <c r="E36" s="7" t="s">
        <v>45</v>
      </c>
      <c r="F36" s="7" t="s">
        <v>45</v>
      </c>
      <c r="G36" s="7" t="s">
        <v>15</v>
      </c>
      <c r="H36" s="6" t="s">
        <v>131</v>
      </c>
      <c r="I36" s="6" t="s">
        <v>132</v>
      </c>
    </row>
    <row r="37" customFormat="false" ht="15" hidden="false" customHeight="false" outlineLevel="0" collapsed="false">
      <c r="A37" s="6" t="s">
        <v>124</v>
      </c>
      <c r="B37" s="5" t="s">
        <v>133</v>
      </c>
      <c r="C37" s="6" t="s">
        <v>134</v>
      </c>
      <c r="D37" s="7" t="s">
        <v>15</v>
      </c>
      <c r="E37" s="7" t="s">
        <v>50</v>
      </c>
      <c r="F37" s="7" t="s">
        <v>50</v>
      </c>
      <c r="G37" s="7" t="s">
        <v>15</v>
      </c>
      <c r="H37" s="6" t="s">
        <v>135</v>
      </c>
      <c r="I37" s="6" t="s">
        <v>136</v>
      </c>
    </row>
    <row r="38" customFormat="false" ht="15" hidden="false" customHeight="false" outlineLevel="0" collapsed="false">
      <c r="A38" s="6" t="s">
        <v>124</v>
      </c>
      <c r="B38" s="5" t="s">
        <v>137</v>
      </c>
      <c r="C38" s="6" t="s">
        <v>138</v>
      </c>
      <c r="D38" s="7" t="s">
        <v>15</v>
      </c>
      <c r="E38" s="7" t="s">
        <v>50</v>
      </c>
      <c r="F38" s="7" t="s">
        <v>50</v>
      </c>
      <c r="G38" s="7" t="s">
        <v>50</v>
      </c>
      <c r="H38" s="6"/>
      <c r="I38" s="6" t="s">
        <v>139</v>
      </c>
    </row>
    <row r="39" customFormat="false" ht="15" hidden="false" customHeight="false" outlineLevel="0" collapsed="false">
      <c r="A39" s="4" t="s">
        <v>140</v>
      </c>
      <c r="B39" s="5" t="s">
        <v>141</v>
      </c>
      <c r="C39" s="6" t="s">
        <v>142</v>
      </c>
      <c r="D39" s="7" t="s">
        <v>15</v>
      </c>
      <c r="E39" s="7" t="s">
        <v>15</v>
      </c>
      <c r="F39" s="7" t="s">
        <v>50</v>
      </c>
      <c r="G39" s="7" t="s">
        <v>15</v>
      </c>
      <c r="H39" s="6" t="s">
        <v>143</v>
      </c>
      <c r="I39" s="6" t="s">
        <v>144</v>
      </c>
    </row>
    <row r="40" customFormat="false" ht="15" hidden="false" customHeight="false" outlineLevel="0" collapsed="false">
      <c r="A40" s="6" t="s">
        <v>140</v>
      </c>
      <c r="B40" s="5" t="s">
        <v>145</v>
      </c>
      <c r="C40" s="6" t="s">
        <v>146</v>
      </c>
      <c r="D40" s="7" t="s">
        <v>15</v>
      </c>
      <c r="E40" s="7" t="s">
        <v>45</v>
      </c>
      <c r="F40" s="7" t="s">
        <v>15</v>
      </c>
      <c r="G40" s="7" t="s">
        <v>15</v>
      </c>
      <c r="H40" s="6" t="s">
        <v>147</v>
      </c>
      <c r="I40" s="6" t="s">
        <v>148</v>
      </c>
    </row>
    <row r="41" customFormat="false" ht="15" hidden="false" customHeight="false" outlineLevel="0" collapsed="false">
      <c r="A41" s="6" t="s">
        <v>140</v>
      </c>
      <c r="B41" s="5" t="s">
        <v>149</v>
      </c>
      <c r="C41" s="6" t="s">
        <v>150</v>
      </c>
      <c r="D41" s="7" t="s">
        <v>15</v>
      </c>
      <c r="E41" s="7" t="s">
        <v>15</v>
      </c>
      <c r="F41" s="7" t="s">
        <v>50</v>
      </c>
      <c r="G41" s="7" t="s">
        <v>15</v>
      </c>
      <c r="H41" s="6" t="s">
        <v>151</v>
      </c>
      <c r="I41" s="6" t="s">
        <v>144</v>
      </c>
    </row>
    <row r="42" customFormat="false" ht="23.85" hidden="false" customHeight="false" outlineLevel="0" collapsed="false">
      <c r="A42" s="6" t="s">
        <v>140</v>
      </c>
      <c r="B42" s="5" t="s">
        <v>152</v>
      </c>
      <c r="C42" s="6" t="s">
        <v>153</v>
      </c>
      <c r="D42" s="7" t="s">
        <v>15</v>
      </c>
      <c r="E42" s="7" t="s">
        <v>50</v>
      </c>
      <c r="F42" s="7" t="s">
        <v>50</v>
      </c>
      <c r="G42" s="7" t="s">
        <v>15</v>
      </c>
      <c r="H42" s="6" t="s">
        <v>154</v>
      </c>
      <c r="I42" s="6" t="s">
        <v>155</v>
      </c>
    </row>
    <row r="43" customFormat="false" ht="15" hidden="false" customHeight="false" outlineLevel="0" collapsed="false">
      <c r="A43" s="6" t="s">
        <v>140</v>
      </c>
      <c r="B43" s="5" t="s">
        <v>156</v>
      </c>
      <c r="C43" s="6" t="s">
        <v>157</v>
      </c>
      <c r="D43" s="7" t="s">
        <v>15</v>
      </c>
      <c r="E43" s="7" t="s">
        <v>50</v>
      </c>
      <c r="F43" s="7" t="s">
        <v>50</v>
      </c>
      <c r="G43" s="7" t="s">
        <v>15</v>
      </c>
      <c r="H43" s="6"/>
      <c r="I43" s="6" t="s">
        <v>148</v>
      </c>
    </row>
    <row r="44" customFormat="false" ht="23.85" hidden="false" customHeight="false" outlineLevel="0" collapsed="false">
      <c r="A44" s="4" t="s">
        <v>158</v>
      </c>
      <c r="B44" s="5" t="s">
        <v>159</v>
      </c>
      <c r="C44" s="6" t="s">
        <v>160</v>
      </c>
      <c r="D44" s="7" t="s">
        <v>15</v>
      </c>
      <c r="E44" s="7" t="s">
        <v>45</v>
      </c>
      <c r="F44" s="7" t="s">
        <v>15</v>
      </c>
      <c r="G44" s="7" t="s">
        <v>15</v>
      </c>
      <c r="H44" s="6" t="s">
        <v>161</v>
      </c>
      <c r="I44" s="6" t="s">
        <v>162</v>
      </c>
    </row>
    <row r="45" customFormat="false" ht="15" hidden="false" customHeight="false" outlineLevel="0" collapsed="false">
      <c r="A45" s="6" t="s">
        <v>158</v>
      </c>
      <c r="B45" s="5" t="s">
        <v>163</v>
      </c>
      <c r="C45" s="6" t="s">
        <v>164</v>
      </c>
      <c r="D45" s="7" t="s">
        <v>14</v>
      </c>
      <c r="E45" s="7" t="s">
        <v>14</v>
      </c>
      <c r="F45" s="7" t="s">
        <v>14</v>
      </c>
      <c r="G45" s="7" t="s">
        <v>14</v>
      </c>
      <c r="H45" s="6"/>
      <c r="I45" s="6" t="s">
        <v>162</v>
      </c>
    </row>
    <row r="46" customFormat="false" ht="15" hidden="false" customHeight="false" outlineLevel="0" collapsed="false">
      <c r="A46" s="6" t="s">
        <v>158</v>
      </c>
      <c r="B46" s="5" t="s">
        <v>165</v>
      </c>
      <c r="C46" s="6" t="s">
        <v>166</v>
      </c>
      <c r="D46" s="7" t="s">
        <v>15</v>
      </c>
      <c r="E46" s="7" t="s">
        <v>45</v>
      </c>
      <c r="F46" s="7" t="s">
        <v>15</v>
      </c>
      <c r="G46" s="7" t="s">
        <v>15</v>
      </c>
      <c r="H46" s="6" t="s">
        <v>167</v>
      </c>
      <c r="I46" s="6" t="s">
        <v>162</v>
      </c>
    </row>
    <row r="47" customFormat="false" ht="15" hidden="false" customHeight="false" outlineLevel="0" collapsed="false">
      <c r="A47" s="6" t="s">
        <v>158</v>
      </c>
      <c r="B47" s="5" t="s">
        <v>168</v>
      </c>
      <c r="C47" s="6" t="s">
        <v>169</v>
      </c>
      <c r="D47" s="7" t="s">
        <v>14</v>
      </c>
      <c r="E47" s="7" t="s">
        <v>14</v>
      </c>
      <c r="F47" s="7" t="s">
        <v>14</v>
      </c>
      <c r="G47" s="7" t="s">
        <v>14</v>
      </c>
      <c r="H47" s="6" t="s">
        <v>170</v>
      </c>
      <c r="I47" s="6" t="s">
        <v>162</v>
      </c>
    </row>
    <row r="48" customFormat="false" ht="15" hidden="false" customHeight="false" outlineLevel="0" collapsed="false">
      <c r="A48" s="6" t="s">
        <v>158</v>
      </c>
      <c r="B48" s="5" t="s">
        <v>171</v>
      </c>
      <c r="C48" s="6" t="s">
        <v>172</v>
      </c>
      <c r="D48" s="7" t="s">
        <v>15</v>
      </c>
      <c r="E48" s="7" t="s">
        <v>14</v>
      </c>
      <c r="F48" s="7" t="s">
        <v>14</v>
      </c>
      <c r="G48" s="7" t="s">
        <v>15</v>
      </c>
      <c r="H48" s="6" t="s">
        <v>173</v>
      </c>
      <c r="I48" s="6" t="s">
        <v>174</v>
      </c>
    </row>
    <row r="49" customFormat="false" ht="15" hidden="false" customHeight="false" outlineLevel="0" collapsed="false">
      <c r="A49" s="4" t="s">
        <v>7</v>
      </c>
      <c r="B49" s="5" t="s">
        <v>175</v>
      </c>
      <c r="C49" s="6" t="s">
        <v>176</v>
      </c>
      <c r="D49" s="7" t="s">
        <v>15</v>
      </c>
      <c r="E49" s="7" t="s">
        <v>15</v>
      </c>
      <c r="F49" s="7" t="s">
        <v>14</v>
      </c>
      <c r="G49" s="7" t="s">
        <v>15</v>
      </c>
      <c r="H49" s="6" t="s">
        <v>177</v>
      </c>
      <c r="I49" s="6" t="s">
        <v>174</v>
      </c>
    </row>
    <row r="50" customFormat="false" ht="15" hidden="false" customHeight="false" outlineLevel="0" collapsed="false">
      <c r="A50" s="6" t="s">
        <v>7</v>
      </c>
      <c r="B50" s="5" t="s">
        <v>178</v>
      </c>
      <c r="C50" s="6" t="s">
        <v>179</v>
      </c>
      <c r="D50" s="7" t="s">
        <v>15</v>
      </c>
      <c r="E50" s="7" t="s">
        <v>15</v>
      </c>
      <c r="F50" s="7" t="s">
        <v>50</v>
      </c>
      <c r="G50" s="7" t="s">
        <v>15</v>
      </c>
      <c r="H50" s="6" t="s">
        <v>180</v>
      </c>
      <c r="I50" s="6" t="s">
        <v>181</v>
      </c>
    </row>
    <row r="51" customFormat="false" ht="15" hidden="false" customHeight="false" outlineLevel="0" collapsed="false">
      <c r="A51" s="4" t="s">
        <v>182</v>
      </c>
      <c r="B51" s="5" t="s">
        <v>183</v>
      </c>
      <c r="C51" s="6" t="s">
        <v>184</v>
      </c>
      <c r="D51" s="7" t="s">
        <v>15</v>
      </c>
      <c r="E51" s="7" t="s">
        <v>15</v>
      </c>
      <c r="F51" s="7" t="s">
        <v>15</v>
      </c>
      <c r="G51" s="7" t="s">
        <v>14</v>
      </c>
      <c r="H51" s="6" t="s">
        <v>185</v>
      </c>
      <c r="I51" s="6" t="s">
        <v>186</v>
      </c>
    </row>
    <row r="52" customFormat="false" ht="15" hidden="false" customHeight="false" outlineLevel="0" collapsed="false">
      <c r="A52" s="6" t="s">
        <v>182</v>
      </c>
      <c r="B52" s="5" t="s">
        <v>187</v>
      </c>
      <c r="C52" s="6" t="s">
        <v>188</v>
      </c>
      <c r="D52" s="7" t="s">
        <v>15</v>
      </c>
      <c r="E52" s="7" t="s">
        <v>15</v>
      </c>
      <c r="F52" s="7" t="s">
        <v>15</v>
      </c>
      <c r="G52" s="7" t="s">
        <v>14</v>
      </c>
      <c r="H52" s="6"/>
      <c r="I52" s="6" t="s">
        <v>189</v>
      </c>
    </row>
    <row r="53" customFormat="false" ht="15" hidden="false" customHeight="false" outlineLevel="0" collapsed="false">
      <c r="A53" s="6" t="s">
        <v>182</v>
      </c>
      <c r="B53" s="5" t="s">
        <v>190</v>
      </c>
      <c r="C53" s="6" t="s">
        <v>191</v>
      </c>
      <c r="D53" s="7" t="s">
        <v>15</v>
      </c>
      <c r="E53" s="7" t="s">
        <v>15</v>
      </c>
      <c r="F53" s="7" t="s">
        <v>15</v>
      </c>
      <c r="G53" s="7" t="s">
        <v>14</v>
      </c>
      <c r="H53" s="6" t="s">
        <v>192</v>
      </c>
      <c r="I53" s="6" t="s">
        <v>193</v>
      </c>
    </row>
    <row r="54" customFormat="false" ht="15" hidden="false" customHeight="false" outlineLevel="0" collapsed="false">
      <c r="A54" s="6" t="s">
        <v>182</v>
      </c>
      <c r="B54" s="5" t="s">
        <v>194</v>
      </c>
      <c r="C54" s="6" t="s">
        <v>195</v>
      </c>
      <c r="D54" s="7" t="s">
        <v>15</v>
      </c>
      <c r="E54" s="7" t="s">
        <v>15</v>
      </c>
      <c r="F54" s="7" t="s">
        <v>15</v>
      </c>
      <c r="G54" s="7" t="s">
        <v>14</v>
      </c>
      <c r="H54" s="6" t="s">
        <v>196</v>
      </c>
      <c r="I54" s="6" t="s">
        <v>197</v>
      </c>
    </row>
    <row r="55" customFormat="false" ht="15" hidden="false" customHeight="false" outlineLevel="0" collapsed="false">
      <c r="A55" s="6" t="s">
        <v>182</v>
      </c>
      <c r="B55" s="5" t="s">
        <v>198</v>
      </c>
      <c r="C55" s="6" t="s">
        <v>199</v>
      </c>
      <c r="D55" s="7" t="s">
        <v>15</v>
      </c>
      <c r="E55" s="7" t="s">
        <v>15</v>
      </c>
      <c r="F55" s="7" t="s">
        <v>15</v>
      </c>
      <c r="G55" s="7" t="s">
        <v>14</v>
      </c>
      <c r="H55" s="6"/>
      <c r="I55" s="6" t="s">
        <v>200</v>
      </c>
    </row>
    <row r="56" customFormat="false" ht="15" hidden="false" customHeight="false" outlineLevel="0" collapsed="false">
      <c r="A56" s="6" t="s">
        <v>182</v>
      </c>
      <c r="B56" s="5" t="s">
        <v>201</v>
      </c>
      <c r="C56" s="6" t="s">
        <v>202</v>
      </c>
      <c r="D56" s="7" t="s">
        <v>15</v>
      </c>
      <c r="E56" s="7" t="s">
        <v>15</v>
      </c>
      <c r="F56" s="7" t="s">
        <v>15</v>
      </c>
      <c r="G56" s="7" t="s">
        <v>14</v>
      </c>
      <c r="H56" s="6" t="s">
        <v>203</v>
      </c>
      <c r="I56" s="6" t="s">
        <v>204</v>
      </c>
    </row>
    <row r="57" customFormat="false" ht="15" hidden="false" customHeight="false" outlineLevel="0" collapsed="false">
      <c r="A57" s="6" t="s">
        <v>182</v>
      </c>
      <c r="B57" s="5" t="s">
        <v>205</v>
      </c>
      <c r="C57" s="6" t="s">
        <v>206</v>
      </c>
      <c r="D57" s="7" t="s">
        <v>15</v>
      </c>
      <c r="E57" s="7" t="s">
        <v>15</v>
      </c>
      <c r="F57" s="7" t="s">
        <v>15</v>
      </c>
      <c r="G57" s="7" t="s">
        <v>14</v>
      </c>
      <c r="H57" s="6" t="s">
        <v>207</v>
      </c>
      <c r="I57" s="6" t="s">
        <v>208</v>
      </c>
    </row>
    <row r="58" customFormat="false" ht="15" hidden="false" customHeight="false" outlineLevel="0" collapsed="false">
      <c r="A58" s="6" t="s">
        <v>182</v>
      </c>
      <c r="B58" s="5" t="s">
        <v>209</v>
      </c>
      <c r="C58" s="6" t="s">
        <v>210</v>
      </c>
      <c r="D58" s="7" t="s">
        <v>15</v>
      </c>
      <c r="E58" s="7" t="s">
        <v>15</v>
      </c>
      <c r="F58" s="7" t="s">
        <v>15</v>
      </c>
      <c r="G58" s="7" t="s">
        <v>14</v>
      </c>
      <c r="H58" s="6"/>
      <c r="I58" s="6" t="s">
        <v>211</v>
      </c>
    </row>
    <row r="59" customFormat="false" ht="15" hidden="false" customHeight="false" outlineLevel="0" collapsed="false">
      <c r="A59" s="6" t="s">
        <v>182</v>
      </c>
      <c r="B59" s="5" t="s">
        <v>212</v>
      </c>
      <c r="C59" s="6" t="s">
        <v>213</v>
      </c>
      <c r="D59" s="7" t="s">
        <v>15</v>
      </c>
      <c r="E59" s="7" t="s">
        <v>15</v>
      </c>
      <c r="F59" s="7" t="s">
        <v>15</v>
      </c>
      <c r="G59" s="7" t="s">
        <v>14</v>
      </c>
      <c r="H59" s="6" t="s">
        <v>214</v>
      </c>
      <c r="I59" s="6" t="s">
        <v>215</v>
      </c>
    </row>
  </sheetData>
  <autoFilter ref="A4:I59"/>
  <conditionalFormatting sqref="D5:G59">
    <cfRule type="cellIs" priority="2" operator="equal" aboveAverage="0" equalAverage="0" bottom="0" percent="0" rank="0" text="" dxfId="11">
      <formula>"Sí"</formula>
    </cfRule>
    <cfRule type="cellIs" priority="3" operator="equal" aboveAverage="0" equalAverage="0" bottom="0" percent="0" rank="0" text="" dxfId="12">
      <formula>"Propio"</formula>
    </cfRule>
    <cfRule type="cellIs" priority="4" operator="equal" aboveAverage="0" equalAverage="0" bottom="0" percent="0" rank="0" text="" dxfId="13">
      <formula>"Condicional"</formula>
    </cfRule>
    <cfRule type="cellIs" priority="5" operator="equal" aboveAverage="0" equalAverage="0" bottom="0" percent="0" rank="0" text="" dxfId="14">
      <formula>"No"</formula>
    </cfRule>
  </conditionalFormatting>
  <dataValidations count="1">
    <dataValidation allowBlank="false" errorStyle="stop" operator="between" showDropDown="false" showErrorMessage="false" showInputMessage="false" sqref="D5:G59" type="list">
      <formula1>"Sí,Propio,Condicional,No"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6"/>
  </cols>
  <sheetData>
    <row r="1" customFormat="false" ht="16.15" hidden="false" customHeight="false" outlineLevel="0" collapsed="false">
      <c r="A1" s="8" t="s">
        <v>216</v>
      </c>
    </row>
    <row r="3" customFormat="false" ht="30" hidden="false" customHeight="true" outlineLevel="0" collapsed="false">
      <c r="A3" s="3" t="s">
        <v>217</v>
      </c>
      <c r="B3" s="3" t="s">
        <v>5</v>
      </c>
      <c r="C3" s="3" t="s">
        <v>6</v>
      </c>
      <c r="D3" s="3" t="s">
        <v>7</v>
      </c>
      <c r="E3" s="3" t="s">
        <v>8</v>
      </c>
    </row>
    <row r="4" customFormat="false" ht="15" hidden="false" customHeight="false" outlineLevel="0" collapsed="false">
      <c r="A4" s="9" t="s">
        <v>14</v>
      </c>
      <c r="B4" s="10" t="n">
        <f aca="false">COUNTIF(Matriz!D$5:D$59,$A4)</f>
        <v>15</v>
      </c>
      <c r="C4" s="10" t="n">
        <f aca="false">COUNTIF(Matriz!E$5:E$59,$A4)</f>
        <v>16</v>
      </c>
      <c r="D4" s="10" t="n">
        <f aca="false">COUNTIF(Matriz!F$5:F$59,$A4)</f>
        <v>17</v>
      </c>
      <c r="E4" s="10" t="n">
        <f aca="false">COUNTIF(Matriz!G$5:G$59,$A4)</f>
        <v>25</v>
      </c>
    </row>
    <row r="5" customFormat="false" ht="15" hidden="false" customHeight="false" outlineLevel="0" collapsed="false">
      <c r="A5" s="9" t="s">
        <v>50</v>
      </c>
      <c r="B5" s="10" t="n">
        <f aca="false">COUNTIF(Matriz!D$5:D$59,$A5)</f>
        <v>0</v>
      </c>
      <c r="C5" s="10" t="n">
        <f aca="false">COUNTIF(Matriz!E$5:E$59,$A5)</f>
        <v>8</v>
      </c>
      <c r="D5" s="10" t="n">
        <f aca="false">COUNTIF(Matriz!F$5:F$59,$A5)</f>
        <v>13</v>
      </c>
      <c r="E5" s="10" t="n">
        <f aca="false">COUNTIF(Matriz!G$5:G$59,$A5)</f>
        <v>1</v>
      </c>
    </row>
    <row r="6" customFormat="false" ht="15" hidden="false" customHeight="false" outlineLevel="0" collapsed="false">
      <c r="A6" s="9" t="s">
        <v>45</v>
      </c>
      <c r="B6" s="10" t="n">
        <f aca="false">COUNTIF(Matriz!D$5:D$59,$A6)</f>
        <v>0</v>
      </c>
      <c r="C6" s="10" t="n">
        <f aca="false">COUNTIF(Matriz!E$5:E$59,$A6)</f>
        <v>6</v>
      </c>
      <c r="D6" s="10" t="n">
        <f aca="false">COUNTIF(Matriz!F$5:F$59,$A6)</f>
        <v>3</v>
      </c>
      <c r="E6" s="10" t="n">
        <f aca="false">COUNTIF(Matriz!G$5:G$59,$A6)</f>
        <v>0</v>
      </c>
    </row>
    <row r="7" customFormat="false" ht="15" hidden="false" customHeight="false" outlineLevel="0" collapsed="false">
      <c r="A7" s="9" t="s">
        <v>15</v>
      </c>
      <c r="B7" s="10" t="n">
        <f aca="false">COUNTIF(Matriz!D$5:D$59,$A7)</f>
        <v>40</v>
      </c>
      <c r="C7" s="10" t="n">
        <f aca="false">COUNTIF(Matriz!E$5:E$59,$A7)</f>
        <v>25</v>
      </c>
      <c r="D7" s="10" t="n">
        <f aca="false">COUNTIF(Matriz!F$5:F$59,$A7)</f>
        <v>22</v>
      </c>
      <c r="E7" s="10" t="n">
        <f aca="false">COUNTIF(Matriz!G$5:G$59,$A7)</f>
        <v>29</v>
      </c>
    </row>
    <row r="8" customFormat="false" ht="15" hidden="false" customHeight="false" outlineLevel="0" collapsed="false">
      <c r="A8" s="11" t="s">
        <v>218</v>
      </c>
      <c r="B8" s="12" t="n">
        <f aca="false">SUM(B4:B6)</f>
        <v>15</v>
      </c>
      <c r="C8" s="12" t="n">
        <f aca="false">SUM(C4:C6)</f>
        <v>30</v>
      </c>
      <c r="D8" s="12" t="n">
        <f aca="false">SUM(D4:D6)</f>
        <v>33</v>
      </c>
      <c r="E8" s="12" t="n">
        <f aca="false">SUM(E4:E6)</f>
        <v>26</v>
      </c>
    </row>
    <row r="9" customFormat="false" ht="15" hidden="false" customHeight="false" outlineLevel="0" collapsed="false">
      <c r="A9" s="11" t="s">
        <v>219</v>
      </c>
      <c r="B9" s="12" t="n">
        <f aca="false">SUM(B4:B7)</f>
        <v>55</v>
      </c>
      <c r="C9" s="12" t="n">
        <f aca="false">SUM(C4:C7)</f>
        <v>55</v>
      </c>
      <c r="D9" s="12" t="n">
        <f aca="false">SUM(D4:D7)</f>
        <v>55</v>
      </c>
      <c r="E9" s="12" t="n">
        <f aca="false">SUM(E4:E7)</f>
        <v>55</v>
      </c>
    </row>
    <row r="12" customFormat="false" ht="15" hidden="false" customHeight="false" outlineLevel="0" collapsed="false">
      <c r="A12" s="13" t="s">
        <v>220</v>
      </c>
    </row>
    <row r="13" customFormat="false" ht="30" hidden="false" customHeight="true" outlineLevel="0" collapsed="false">
      <c r="A13" s="3" t="s">
        <v>2</v>
      </c>
      <c r="B13" s="3" t="s">
        <v>5</v>
      </c>
      <c r="C13" s="3" t="s">
        <v>6</v>
      </c>
      <c r="D13" s="3" t="s">
        <v>7</v>
      </c>
      <c r="E13" s="3" t="s">
        <v>8</v>
      </c>
      <c r="F13" s="3" t="s">
        <v>221</v>
      </c>
    </row>
    <row r="14" customFormat="false" ht="15" hidden="false" customHeight="false" outlineLevel="0" collapsed="false">
      <c r="A14" s="14" t="s">
        <v>11</v>
      </c>
      <c r="B14" s="10" t="n">
        <f aca="false">COUNTIFS(Matriz!$A$5:$A$59,$A14,Matriz!D$5:D$59,"&lt;&gt;No")</f>
        <v>5</v>
      </c>
      <c r="C14" s="10" t="n">
        <f aca="false">COUNTIFS(Matriz!$A$5:$A$59,$A14,Matriz!E$5:E$59,"&lt;&gt;No")</f>
        <v>7</v>
      </c>
      <c r="D14" s="10" t="n">
        <f aca="false">COUNTIFS(Matriz!$A$5:$A$59,$A14,Matriz!F$5:F$59,"&lt;&gt;No")</f>
        <v>6</v>
      </c>
      <c r="E14" s="10" t="n">
        <f aca="false">COUNTIFS(Matriz!$A$5:$A$59,$A14,Matriz!G$5:G$59,"&lt;&gt;No")</f>
        <v>4</v>
      </c>
      <c r="F14" s="10" t="n">
        <f aca="false">COUNTIF(Matriz!$A$5:$A$59,$A14)</f>
        <v>10</v>
      </c>
    </row>
    <row r="15" customFormat="false" ht="15" hidden="false" customHeight="false" outlineLevel="0" collapsed="false">
      <c r="A15" s="14" t="s">
        <v>52</v>
      </c>
      <c r="B15" s="10" t="n">
        <f aca="false">COUNTIFS(Matriz!$A$5:$A$59,$A15,Matriz!D$5:D$59,"&lt;&gt;No")</f>
        <v>3</v>
      </c>
      <c r="C15" s="10" t="n">
        <f aca="false">COUNTIFS(Matriz!$A$5:$A$59,$A15,Matriz!E$5:E$59,"&lt;&gt;No")</f>
        <v>3</v>
      </c>
      <c r="D15" s="10" t="n">
        <f aca="false">COUNTIFS(Matriz!$A$5:$A$59,$A15,Matriz!F$5:F$59,"&lt;&gt;No")</f>
        <v>10</v>
      </c>
      <c r="E15" s="10" t="n">
        <f aca="false">COUNTIFS(Matriz!$A$5:$A$59,$A15,Matriz!G$5:G$59,"&lt;&gt;No")</f>
        <v>3</v>
      </c>
      <c r="F15" s="10" t="n">
        <f aca="false">COUNTIF(Matriz!$A$5:$A$59,$A15)</f>
        <v>10</v>
      </c>
    </row>
    <row r="16" customFormat="false" ht="15" hidden="false" customHeight="false" outlineLevel="0" collapsed="false">
      <c r="A16" s="14" t="s">
        <v>88</v>
      </c>
      <c r="B16" s="10" t="n">
        <f aca="false">COUNTIFS(Matriz!$A$5:$A$59,$A16,Matriz!D$5:D$59,"&lt;&gt;No")</f>
        <v>3</v>
      </c>
      <c r="C16" s="10" t="n">
        <f aca="false">COUNTIFS(Matriz!$A$5:$A$59,$A16,Matriz!E$5:E$59,"&lt;&gt;No")</f>
        <v>3</v>
      </c>
      <c r="D16" s="10" t="n">
        <f aca="false">COUNTIFS(Matriz!$A$5:$A$59,$A16,Matriz!F$5:F$59,"&lt;&gt;No")</f>
        <v>3</v>
      </c>
      <c r="E16" s="10" t="n">
        <f aca="false">COUNTIFS(Matriz!$A$5:$A$59,$A16,Matriz!G$5:G$59,"&lt;&gt;No")</f>
        <v>5</v>
      </c>
      <c r="F16" s="10" t="n">
        <f aca="false">COUNTIF(Matriz!$A$5:$A$59,$A16)</f>
        <v>5</v>
      </c>
    </row>
    <row r="17" customFormat="false" ht="15" hidden="false" customHeight="false" outlineLevel="0" collapsed="false">
      <c r="A17" s="14" t="s">
        <v>106</v>
      </c>
      <c r="B17" s="10" t="n">
        <f aca="false">COUNTIFS(Matriz!$A$5:$A$59,$A17,Matriz!D$5:D$59,"&lt;&gt;No")</f>
        <v>2</v>
      </c>
      <c r="C17" s="10" t="n">
        <f aca="false">COUNTIFS(Matriz!$A$5:$A$59,$A17,Matriz!E$5:E$59,"&lt;&gt;No")</f>
        <v>5</v>
      </c>
      <c r="D17" s="10" t="n">
        <f aca="false">COUNTIFS(Matriz!$A$5:$A$59,$A17,Matriz!F$5:F$59,"&lt;&gt;No")</f>
        <v>2</v>
      </c>
      <c r="E17" s="10" t="n">
        <f aca="false">COUNTIFS(Matriz!$A$5:$A$59,$A17,Matriz!G$5:G$59,"&lt;&gt;No")</f>
        <v>2</v>
      </c>
      <c r="F17" s="10" t="n">
        <f aca="false">COUNTIF(Matriz!$A$5:$A$59,$A17)</f>
        <v>5</v>
      </c>
    </row>
    <row r="18" customFormat="false" ht="15" hidden="false" customHeight="false" outlineLevel="0" collapsed="false">
      <c r="A18" s="14" t="s">
        <v>124</v>
      </c>
      <c r="B18" s="10" t="n">
        <f aca="false">COUNTIFS(Matriz!$A$5:$A$59,$A18,Matriz!D$5:D$59,"&lt;&gt;No")</f>
        <v>0</v>
      </c>
      <c r="C18" s="10" t="n">
        <f aca="false">COUNTIFS(Matriz!$A$5:$A$59,$A18,Matriz!E$5:E$59,"&lt;&gt;No")</f>
        <v>4</v>
      </c>
      <c r="D18" s="10" t="n">
        <f aca="false">COUNTIFS(Matriz!$A$5:$A$59,$A18,Matriz!F$5:F$59,"&lt;&gt;No")</f>
        <v>3</v>
      </c>
      <c r="E18" s="10" t="n">
        <f aca="false">COUNTIFS(Matriz!$A$5:$A$59,$A18,Matriz!G$5:G$59,"&lt;&gt;No")</f>
        <v>1</v>
      </c>
      <c r="F18" s="10" t="n">
        <f aca="false">COUNTIF(Matriz!$A$5:$A$59,$A18)</f>
        <v>4</v>
      </c>
    </row>
    <row r="19" customFormat="false" ht="15" hidden="false" customHeight="false" outlineLevel="0" collapsed="false">
      <c r="A19" s="14" t="s">
        <v>140</v>
      </c>
      <c r="B19" s="10" t="n">
        <f aca="false">COUNTIFS(Matriz!$A$5:$A$59,$A19,Matriz!D$5:D$59,"&lt;&gt;No")</f>
        <v>0</v>
      </c>
      <c r="C19" s="10" t="n">
        <f aca="false">COUNTIFS(Matriz!$A$5:$A$59,$A19,Matriz!E$5:E$59,"&lt;&gt;No")</f>
        <v>3</v>
      </c>
      <c r="D19" s="10" t="n">
        <f aca="false">COUNTIFS(Matriz!$A$5:$A$59,$A19,Matriz!F$5:F$59,"&lt;&gt;No")</f>
        <v>4</v>
      </c>
      <c r="E19" s="10" t="n">
        <f aca="false">COUNTIFS(Matriz!$A$5:$A$59,$A19,Matriz!G$5:G$59,"&lt;&gt;No")</f>
        <v>0</v>
      </c>
      <c r="F19" s="10" t="n">
        <f aca="false">COUNTIF(Matriz!$A$5:$A$59,$A19)</f>
        <v>5</v>
      </c>
    </row>
    <row r="20" customFormat="false" ht="15" hidden="false" customHeight="false" outlineLevel="0" collapsed="false">
      <c r="A20" s="14" t="s">
        <v>158</v>
      </c>
      <c r="B20" s="10" t="n">
        <f aca="false">COUNTIFS(Matriz!$A$5:$A$59,$A20,Matriz!D$5:D$59,"&lt;&gt;No")</f>
        <v>2</v>
      </c>
      <c r="C20" s="10" t="n">
        <f aca="false">COUNTIFS(Matriz!$A$5:$A$59,$A20,Matriz!E$5:E$59,"&lt;&gt;No")</f>
        <v>5</v>
      </c>
      <c r="D20" s="10" t="n">
        <f aca="false">COUNTIFS(Matriz!$A$5:$A$59,$A20,Matriz!F$5:F$59,"&lt;&gt;No")</f>
        <v>3</v>
      </c>
      <c r="E20" s="10" t="n">
        <f aca="false">COUNTIFS(Matriz!$A$5:$A$59,$A20,Matriz!G$5:G$59,"&lt;&gt;No")</f>
        <v>2</v>
      </c>
      <c r="F20" s="10" t="n">
        <f aca="false">COUNTIF(Matriz!$A$5:$A$59,$A20)</f>
        <v>5</v>
      </c>
    </row>
    <row r="21" customFormat="false" ht="15" hidden="false" customHeight="false" outlineLevel="0" collapsed="false">
      <c r="A21" s="14" t="s">
        <v>7</v>
      </c>
      <c r="B21" s="10" t="n">
        <f aca="false">COUNTIFS(Matriz!$A$5:$A$59,$A21,Matriz!D$5:D$59,"&lt;&gt;No")</f>
        <v>0</v>
      </c>
      <c r="C21" s="10" t="n">
        <f aca="false">COUNTIFS(Matriz!$A$5:$A$59,$A21,Matriz!E$5:E$59,"&lt;&gt;No")</f>
        <v>0</v>
      </c>
      <c r="D21" s="10" t="n">
        <f aca="false">COUNTIFS(Matriz!$A$5:$A$59,$A21,Matriz!F$5:F$59,"&lt;&gt;No")</f>
        <v>2</v>
      </c>
      <c r="E21" s="10" t="n">
        <f aca="false">COUNTIFS(Matriz!$A$5:$A$59,$A21,Matriz!G$5:G$59,"&lt;&gt;No")</f>
        <v>0</v>
      </c>
      <c r="F21" s="10" t="n">
        <f aca="false">COUNTIF(Matriz!$A$5:$A$59,$A21)</f>
        <v>2</v>
      </c>
    </row>
    <row r="22" customFormat="false" ht="15" hidden="false" customHeight="false" outlineLevel="0" collapsed="false">
      <c r="A22" s="14" t="s">
        <v>182</v>
      </c>
      <c r="B22" s="10" t="n">
        <f aca="false">COUNTIFS(Matriz!$A$5:$A$59,$A22,Matriz!D$5:D$59,"&lt;&gt;No")</f>
        <v>0</v>
      </c>
      <c r="C22" s="10" t="n">
        <f aca="false">COUNTIFS(Matriz!$A$5:$A$59,$A22,Matriz!E$5:E$59,"&lt;&gt;No")</f>
        <v>0</v>
      </c>
      <c r="D22" s="10" t="n">
        <f aca="false">COUNTIFS(Matriz!$A$5:$A$59,$A22,Matriz!F$5:F$59,"&lt;&gt;No")</f>
        <v>0</v>
      </c>
      <c r="E22" s="10" t="n">
        <f aca="false">COUNTIFS(Matriz!$A$5:$A$59,$A22,Matriz!G$5:G$59,"&lt;&gt;No")</f>
        <v>9</v>
      </c>
      <c r="F22" s="10" t="n">
        <f aca="false">COUNTIF(Matriz!$A$5:$A$59,$A22)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8" t="s">
        <v>222</v>
      </c>
    </row>
    <row r="3" customFormat="false" ht="15" hidden="false" customHeight="false" outlineLevel="0" collapsed="false">
      <c r="A3" s="15" t="s">
        <v>14</v>
      </c>
      <c r="B3" s="16" t="s">
        <v>223</v>
      </c>
    </row>
    <row r="4" customFormat="false" ht="26.85" hidden="false" customHeight="false" outlineLevel="0" collapsed="false">
      <c r="A4" s="17" t="s">
        <v>50</v>
      </c>
      <c r="B4" s="16" t="s">
        <v>224</v>
      </c>
    </row>
    <row r="5" customFormat="false" ht="26.85" hidden="false" customHeight="false" outlineLevel="0" collapsed="false">
      <c r="A5" s="18" t="s">
        <v>45</v>
      </c>
      <c r="B5" s="16" t="s">
        <v>225</v>
      </c>
    </row>
    <row r="6" customFormat="false" ht="15" hidden="false" customHeight="false" outlineLevel="0" collapsed="false">
      <c r="A6" s="19" t="s">
        <v>15</v>
      </c>
      <c r="B6" s="16" t="s">
        <v>226</v>
      </c>
    </row>
    <row r="7" customFormat="false" ht="15" hidden="false" customHeight="false" outlineLevel="0" collapsed="false">
      <c r="A7" s="20"/>
      <c r="B7" s="16"/>
    </row>
    <row r="8" customFormat="false" ht="26.85" hidden="false" customHeight="false" outlineLevel="0" collapsed="false">
      <c r="A8" s="20" t="s">
        <v>227</v>
      </c>
      <c r="B8" s="16" t="s">
        <v>228</v>
      </c>
    </row>
    <row r="9" customFormat="false" ht="26.85" hidden="false" customHeight="false" outlineLevel="0" collapsed="false">
      <c r="A9" s="20" t="s">
        <v>229</v>
      </c>
      <c r="B9" s="16" t="s">
        <v>230</v>
      </c>
    </row>
    <row r="10" customFormat="false" ht="26.85" hidden="false" customHeight="false" outlineLevel="0" collapsed="false">
      <c r="A10" s="20" t="s">
        <v>231</v>
      </c>
      <c r="B10" s="16" t="s">
        <v>232</v>
      </c>
    </row>
    <row r="11" customFormat="false" ht="26.85" hidden="false" customHeight="false" outlineLevel="0" collapsed="false">
      <c r="A11" s="20" t="s">
        <v>233</v>
      </c>
      <c r="B11" s="16" t="s">
        <v>234</v>
      </c>
    </row>
    <row r="12" customFormat="false" ht="26.85" hidden="false" customHeight="false" outlineLevel="0" collapsed="false">
      <c r="A12" s="20" t="s">
        <v>235</v>
      </c>
      <c r="B12" s="16" t="s">
        <v>236</v>
      </c>
    </row>
    <row r="13" customFormat="false" ht="26.85" hidden="false" customHeight="false" outlineLevel="0" collapsed="false">
      <c r="A13" s="20" t="s">
        <v>237</v>
      </c>
      <c r="B13" s="16" t="s">
        <v>238</v>
      </c>
    </row>
    <row r="14" customFormat="false" ht="15" hidden="false" customHeight="false" outlineLevel="0" collapsed="false">
      <c r="A14" s="20" t="s">
        <v>239</v>
      </c>
      <c r="B14" s="16" t="s">
        <v>240</v>
      </c>
    </row>
    <row r="15" customFormat="false" ht="26.85" hidden="false" customHeight="false" outlineLevel="0" collapsed="false">
      <c r="A15" s="21" t="s">
        <v>241</v>
      </c>
      <c r="B15" s="16" t="s">
        <v>242</v>
      </c>
    </row>
    <row r="16" customFormat="false" ht="15" hidden="false" customHeight="false" outlineLevel="0" collapsed="false">
      <c r="A16" s="21" t="s">
        <v>241</v>
      </c>
      <c r="B16" s="16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2026-09-24T16:35:34Z</dcterms:created>
  <dc:creator>openpyxl</dc:creator>
  <dc:description/>
  <dc:language>en-US</dc:language>
  <cp:lastModifiedBy/>
  <dcterms:modified xsi:type="dcterms:W3CDTF">2026-09-24T16:35:34Z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